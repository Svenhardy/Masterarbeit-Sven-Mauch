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en/"/>
    </mc:Choice>
  </mc:AlternateContent>
  <xr:revisionPtr revIDLastSave="0" documentId="13_ncr:1_{1F08DB5C-5BD1-0B4E-833C-088156EC9393}" xr6:coauthVersionLast="47" xr6:coauthVersionMax="47" xr10:uidLastSave="{00000000-0000-0000-0000-000000000000}"/>
  <bookViews>
    <workbookView xWindow="0" yWindow="500" windowWidth="28800" windowHeight="16540" activeTab="4" xr2:uid="{1C783383-3E44-7045-8EB6-71D9207BA981}"/>
  </bookViews>
  <sheets>
    <sheet name="1. Dual Fuel Background Data" sheetId="1" r:id="rId1"/>
    <sheet name="2. Dual Fuel Impacts" sheetId="2" r:id="rId2"/>
    <sheet name="3. Emission Impacts" sheetId="3" r:id="rId3"/>
    <sheet name="4. Engine Data" sheetId="4" r:id="rId4"/>
    <sheet name="5. Annahmen" sheetId="5" r:id="rId5"/>
    <sheet name="6. Emiss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6" l="1"/>
  <c r="E6" i="6" s="1"/>
  <c r="F4" i="6"/>
  <c r="F5" i="6" s="1"/>
  <c r="F6" i="6" s="1"/>
  <c r="E4" i="6"/>
  <c r="E3" i="6" s="1"/>
  <c r="E2" i="6" s="1"/>
  <c r="D4" i="6"/>
  <c r="D3" i="6" s="1"/>
  <c r="D2" i="6" s="1"/>
  <c r="C4" i="6"/>
  <c r="C5" i="6" s="1"/>
  <c r="C6" i="6" s="1"/>
  <c r="B4" i="6"/>
  <c r="B5" i="6" s="1"/>
  <c r="B6" i="6" s="1"/>
  <c r="F3" i="6" l="1"/>
  <c r="F2" i="6" s="1"/>
  <c r="D5" i="6"/>
  <c r="D6" i="6" s="1"/>
  <c r="B3" i="6"/>
  <c r="B2" i="6" s="1"/>
  <c r="C3" i="6"/>
  <c r="C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3" authorId="0" shapeId="0" xr:uid="{747A98EA-7EB0-0F4C-9952-82563827CDAB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Wieso ist das 0?</t>
        </r>
      </text>
    </comment>
    <comment ref="A4" authorId="0" shapeId="0" xr:uid="{A304807D-58C8-744A-B591-BAD4D170E5D4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Resultert aus Summe für NO2 und 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1" authorId="0" shapeId="0" xr:uid="{88A0719B-4BC3-C74A-BDD7-8BE9323852EF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Werte wurden aus beschriebener Quelle für 60% Auslastung angenommen und dann mit frei erfundenen Faktoren vergrößert/verkleinert </t>
        </r>
      </text>
    </comment>
    <comment ref="B1" authorId="0" shapeId="0" xr:uid="{99DDBEA7-D1DF-EC4A-871A-96CE8A005778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 FROM EPA SOURCE: LARGE STATIONARY DIESEL AND ALL STATIONARY DUAL FUEL ENGINES</t>
        </r>
      </text>
    </comment>
    <comment ref="C1" authorId="0" shapeId="0" xr:uid="{3217F5F0-28CD-7F4C-8FA0-8F42DFE6EADB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Assumption FROM EPA SOURCE: LARGE STATIONARY DIESEL AND ALL STATIONARY DUAL FUEL ENGINES</t>
        </r>
      </text>
    </comment>
    <comment ref="D1" authorId="0" shapeId="0" xr:uid="{B083C0C9-4BCF-ED46-9D98-45502D69B55F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Antwort von Gemini in Bezug auf TA Luft Grenzwerte</t>
        </r>
      </text>
    </comment>
    <comment ref="E1" authorId="0" shapeId="0" xr:uid="{3A81348A-BC43-D347-B02C-86D911DA6FBA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Assumption FROM EPA SOURCE: LARGE STATIONARY DIESEL AND ALL STATIONARY DUAL FUEL ENGINES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F1" authorId="0" shapeId="0" xr:uid="{47573931-0AC2-464A-BC70-78FDE3DCFF8C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Assumption FROM EPA SOURCE: LARGE STATIONARY DIESEL AND ALL STATIONARY DUAL FUEL ENGINES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<sst xmlns="http://schemas.openxmlformats.org/spreadsheetml/2006/main" count="107" uniqueCount="64">
  <si>
    <t>Engine Size [kWel]</t>
  </si>
  <si>
    <t>Engine Load[%]</t>
  </si>
  <si>
    <t>Category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</si>
  <si>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</si>
  <si>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</si>
  <si>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</si>
  <si>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</si>
  <si>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</si>
  <si>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</si>
  <si>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</si>
  <si>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</si>
  <si>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</si>
  <si>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</si>
  <si>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</si>
  <si>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</si>
  <si>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</si>
  <si>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</si>
  <si>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</si>
  <si>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</si>
  <si>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</si>
  <si>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</si>
  <si>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</si>
  <si>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</si>
  <si>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</si>
  <si>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</si>
  <si>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</si>
  <si>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</si>
  <si>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</si>
  <si>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</si>
  <si>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</si>
  <si>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</si>
  <si>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</si>
  <si>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</si>
  <si>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</si>
  <si>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</si>
  <si>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Engine Production</t>
  </si>
  <si>
    <t>Fuel Consumption [1L Diesel]</t>
  </si>
  <si>
    <t>Operating Resources [1L oil]</t>
  </si>
  <si>
    <t>Maintenance [filter production]</t>
  </si>
  <si>
    <t>CO</t>
  </si>
  <si>
    <t>Nox</t>
  </si>
  <si>
    <t>Formaldehyd</t>
  </si>
  <si>
    <t>CH4</t>
  </si>
  <si>
    <t>CO Organic</t>
  </si>
  <si>
    <t>CO2 Fossil</t>
  </si>
  <si>
    <t>Max. volume flow [m^3/h]</t>
  </si>
  <si>
    <t>Min. volume flow [m^3/h]</t>
  </si>
  <si>
    <t>Minimum Engine Load</t>
  </si>
  <si>
    <t>Engine efficency</t>
  </si>
  <si>
    <t>Calorific Value CH4 [kWh/m^3]</t>
  </si>
  <si>
    <t>Calorific Value Diesel [kW/L]</t>
  </si>
  <si>
    <t>Oil tank volume</t>
  </si>
  <si>
    <t>Annual runtime [h]</t>
  </si>
  <si>
    <t>Oil change [opr. h]</t>
  </si>
  <si>
    <t>Diesel Consumption [L/h]</t>
  </si>
  <si>
    <t>Maintenance Period [opr. h]</t>
  </si>
  <si>
    <t>Production Factor</t>
  </si>
  <si>
    <t>Impact Category</t>
  </si>
  <si>
    <t>Engine Range [% of Load]</t>
  </si>
  <si>
    <t>NOx</t>
  </si>
  <si>
    <t>Formldehyd</t>
  </si>
  <si>
    <t>CH4 slop</t>
  </si>
  <si>
    <t>Particulate Matter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</si>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</sst>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D401-F456-EE40-81B6-EF45A9B58314}">
  <dimension ref="A1:M6"/>
  <sheetViews>
    <sheetView zoomScale="125" workbookViewId="0">
      <selection activeCell="A8" sqref="A8"/>
    </sheetView>
  </sheetViews>
  <sheetFormatPr baseColWidth="10" defaultColWidth="20.83203125" defaultRowHeight="16" x14ac:dyDescent="0.2"/>
  <sheetData>
    <row r="1" spans="1:13" x14ac:dyDescent="0.2">
      <c r="A1" s="1" t="s">
        <v>1</v>
      </c>
      <c r="B1" s="1" t="s">
        <v>53</v>
      </c>
      <c r="C1" s="1" t="s">
        <v>55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1">
        <v>20</v>
      </c>
      <c r="B2">
        <v>3000</v>
      </c>
      <c r="C2">
        <v>15000</v>
      </c>
      <c r="F2" s="1"/>
      <c r="G2" s="1"/>
      <c r="I2" s="1"/>
      <c r="J2" s="1"/>
      <c r="K2" s="1"/>
      <c r="L2" s="1"/>
      <c r="M2" s="1"/>
    </row>
    <row r="3" spans="1:13" x14ac:dyDescent="0.2">
      <c r="A3" s="1">
        <v>40</v>
      </c>
      <c r="B3">
        <v>2000</v>
      </c>
      <c r="C3">
        <v>10000</v>
      </c>
    </row>
    <row r="4" spans="1:13" x14ac:dyDescent="0.2">
      <c r="A4" s="1">
        <v>60</v>
      </c>
      <c r="B4">
        <v>1500</v>
      </c>
      <c r="C4">
        <v>8000</v>
      </c>
    </row>
    <row r="5" spans="1:13" x14ac:dyDescent="0.2">
      <c r="A5" s="1">
        <v>80</v>
      </c>
      <c r="B5">
        <v>1000</v>
      </c>
      <c r="C5">
        <v>7000</v>
      </c>
    </row>
    <row r="6" spans="1:13" x14ac:dyDescent="0.2">
      <c r="A6" s="1">
        <v>100</v>
      </c>
      <c r="B6">
        <v>750</v>
      </c>
      <c r="C6">
        <v>6000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D794-D622-C147-B18B-8DA256B86D9F}">
  <dimension ref="A1:S6"/>
  <sheetViews>
    <sheetView zoomScale="125" workbookViewId="0">
      <selection activeCell="G14" sqref="G14"/>
    </sheetView>
  </sheetViews>
  <sheetFormatPr baseColWidth="10" defaultRowHeight="16" x14ac:dyDescent="0.2"/>
  <cols>
    <col min="1" max="1" width="24.5" customWidth="1"/>
  </cols>
  <sheetData>
    <row r="1" spans="1:19" x14ac:dyDescent="0.2">
      <c r="A1" s="1" t="s">
        <v>57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x14ac:dyDescent="0.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24</v>
      </c>
      <c r="H2" s="1" t="s">
        <v>24</v>
      </c>
      <c r="I2" s="1" t="s">
        <v>27</v>
      </c>
      <c r="J2" s="1" t="s">
        <v>28</v>
      </c>
      <c r="K2" s="1" t="s">
        <v>24</v>
      </c>
      <c r="L2" s="1" t="s">
        <v>29</v>
      </c>
      <c r="M2" s="1" t="s">
        <v>30</v>
      </c>
      <c r="N2" s="1" t="s">
        <v>31</v>
      </c>
      <c r="O2" s="1" t="s">
        <v>31</v>
      </c>
      <c r="P2" s="1" t="s">
        <v>32</v>
      </c>
      <c r="Q2" s="1" t="s">
        <v>33</v>
      </c>
      <c r="R2" s="1" t="s">
        <v>24</v>
      </c>
      <c r="S2" s="1" t="s">
        <v>34</v>
      </c>
    </row>
    <row r="3" spans="1:19" x14ac:dyDescent="0.2">
      <c r="A3" s="1" t="s">
        <v>35</v>
      </c>
      <c r="B3">
        <v>4.9578236501276045</v>
      </c>
      <c r="C3">
        <v>496.01617985340243</v>
      </c>
      <c r="D3">
        <v>364.70308443972311</v>
      </c>
      <c r="E3">
        <v>0.72452359725107396</v>
      </c>
      <c r="F3">
        <v>2327.1384983101384</v>
      </c>
      <c r="G3">
        <v>11649.481909604521</v>
      </c>
      <c r="H3">
        <v>2178.9500365888935</v>
      </c>
      <c r="I3">
        <v>124.22070717523438</v>
      </c>
      <c r="J3">
        <v>61.1090666592454</v>
      </c>
      <c r="K3">
        <v>718.43475483896555</v>
      </c>
      <c r="L3">
        <v>0.11166077582531986</v>
      </c>
      <c r="M3">
        <v>1.1529279601695079</v>
      </c>
      <c r="N3">
        <v>5.1357414072775942</v>
      </c>
      <c r="O3">
        <v>5.3122837456029615</v>
      </c>
      <c r="P3">
        <v>5.2151598927717814E-4</v>
      </c>
      <c r="Q3">
        <v>6.9525002607885034</v>
      </c>
      <c r="R3">
        <v>217008.86889500768</v>
      </c>
      <c r="S3">
        <v>21289.129487340044</v>
      </c>
    </row>
    <row r="4" spans="1:19" x14ac:dyDescent="0.2">
      <c r="A4" s="1" t="s">
        <v>36</v>
      </c>
      <c r="B4">
        <v>7.4972557735669535E-4</v>
      </c>
      <c r="C4">
        <v>1.0041740752673309</v>
      </c>
      <c r="D4">
        <v>7.5665559667094295E-3</v>
      </c>
      <c r="E4">
        <v>4.3915425601170851E-5</v>
      </c>
      <c r="F4">
        <v>0.84309765069054465</v>
      </c>
      <c r="G4">
        <v>0.11299100053173734</v>
      </c>
      <c r="H4">
        <v>0.10191279475248768</v>
      </c>
      <c r="I4">
        <v>1.7455398379020014E-2</v>
      </c>
      <c r="J4">
        <v>7.693882235543157E-3</v>
      </c>
      <c r="K4">
        <v>1.8809022888782664E-2</v>
      </c>
      <c r="L4">
        <v>2.8369049970269383E-5</v>
      </c>
      <c r="M4">
        <v>1.4294850456601253E-4</v>
      </c>
      <c r="N4">
        <v>2.18060775353852E-3</v>
      </c>
      <c r="O4">
        <v>2.8021638500299786E-3</v>
      </c>
      <c r="P4">
        <v>1.9620752840705337E-7</v>
      </c>
      <c r="Q4">
        <v>2.0242223958787018E-3</v>
      </c>
      <c r="R4">
        <v>7.7727752065389959</v>
      </c>
      <c r="S4">
        <v>0.6603530480061951</v>
      </c>
    </row>
    <row r="5" spans="1:19" x14ac:dyDescent="0.2">
      <c r="A5" s="1" t="s">
        <v>37</v>
      </c>
      <c r="B5">
        <v>1.7085454724037486E-3</v>
      </c>
      <c r="C5">
        <v>1.2791641674106913</v>
      </c>
      <c r="D5">
        <v>6.8623796015590113E-2</v>
      </c>
      <c r="E5">
        <v>3.2145597685101626E-4</v>
      </c>
      <c r="F5">
        <v>1.5844958841657133</v>
      </c>
      <c r="G5">
        <v>0.29803449952227484</v>
      </c>
      <c r="H5">
        <v>0.93550334068996477</v>
      </c>
      <c r="I5">
        <v>0.12365272979563961</v>
      </c>
      <c r="J5">
        <v>3.1441376197056913E-2</v>
      </c>
      <c r="K5">
        <v>0.10639295386276565</v>
      </c>
      <c r="L5">
        <v>5.5049746962020402E-5</v>
      </c>
      <c r="M5">
        <v>1.2512731844963494E-3</v>
      </c>
      <c r="N5">
        <v>7.1501930567545464E-3</v>
      </c>
      <c r="O5">
        <v>9.967067180677254E-3</v>
      </c>
      <c r="P5">
        <v>3.9499937384468093E-7</v>
      </c>
      <c r="Q5">
        <v>4.2708500934714637E-3</v>
      </c>
      <c r="R5">
        <v>17.84347423571986</v>
      </c>
      <c r="S5">
        <v>4.501637464607672</v>
      </c>
    </row>
    <row r="6" spans="1:19" x14ac:dyDescent="0.2">
      <c r="A6" s="1" t="s">
        <v>38</v>
      </c>
      <c r="B6">
        <v>11.215794858402578</v>
      </c>
      <c r="C6">
        <v>1268.0953639211318</v>
      </c>
      <c r="D6">
        <v>342.37388426674636</v>
      </c>
      <c r="E6">
        <v>2.1901046307031495</v>
      </c>
      <c r="F6">
        <v>6113.6195812709311</v>
      </c>
      <c r="G6">
        <v>3915.2860048546327</v>
      </c>
      <c r="H6">
        <v>3973.7282913942258</v>
      </c>
      <c r="I6">
        <v>335.08618099530196</v>
      </c>
      <c r="J6">
        <v>239.53389508461524</v>
      </c>
      <c r="K6">
        <v>729.56430637221058</v>
      </c>
      <c r="L6">
        <v>0.21097884828818741</v>
      </c>
      <c r="M6">
        <v>1.6764573128588687</v>
      </c>
      <c r="N6">
        <v>14.443206956921639</v>
      </c>
      <c r="O6">
        <v>14.799562686961114</v>
      </c>
      <c r="P6">
        <v>1.4813611270563887E-3</v>
      </c>
      <c r="Q6">
        <v>25.63422366034467</v>
      </c>
      <c r="R6">
        <v>256842.3717332815</v>
      </c>
      <c r="S6">
        <v>19861.326021390316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1742-F002-404D-9F3C-6F1A60113305}">
  <dimension ref="A1:S7"/>
  <sheetViews>
    <sheetView zoomScale="125" workbookViewId="0">
      <selection activeCell="J25" sqref="J25"/>
    </sheetView>
  </sheetViews>
  <sheetFormatPr baseColWidth="10" defaultRowHeight="16" x14ac:dyDescent="0.2"/>
  <sheetData>
    <row r="1" spans="1:1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x14ac:dyDescent="0.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24</v>
      </c>
      <c r="H2" s="1" t="s">
        <v>24</v>
      </c>
      <c r="I2" s="1" t="s">
        <v>27</v>
      </c>
      <c r="J2" s="1" t="s">
        <v>28</v>
      </c>
      <c r="K2" s="1" t="s">
        <v>24</v>
      </c>
      <c r="L2" s="1" t="s">
        <v>29</v>
      </c>
      <c r="M2" s="1" t="s">
        <v>30</v>
      </c>
      <c r="N2" s="1" t="s">
        <v>31</v>
      </c>
      <c r="O2" s="1" t="s">
        <v>31</v>
      </c>
      <c r="P2" s="1" t="s">
        <v>32</v>
      </c>
      <c r="Q2" s="1" t="s">
        <v>33</v>
      </c>
      <c r="R2" s="1" t="s">
        <v>24</v>
      </c>
      <c r="S2" s="1" t="s">
        <v>34</v>
      </c>
    </row>
    <row r="3" spans="1:19" x14ac:dyDescent="0.2">
      <c r="A3" s="1" t="s">
        <v>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s="1" t="s">
        <v>40</v>
      </c>
      <c r="B4">
        <v>0.28000000000000003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1.53</v>
      </c>
      <c r="O4">
        <v>1.53</v>
      </c>
      <c r="P4">
        <v>0</v>
      </c>
      <c r="Q4">
        <v>0.91200000000000003</v>
      </c>
      <c r="R4">
        <v>0</v>
      </c>
      <c r="S4">
        <v>0</v>
      </c>
    </row>
    <row r="5" spans="1:19" x14ac:dyDescent="0.2">
      <c r="A5" s="1" t="s">
        <v>41</v>
      </c>
      <c r="B5" s="2">
        <v>0</v>
      </c>
      <c r="C5" s="2">
        <v>0</v>
      </c>
      <c r="D5" s="2">
        <v>1.41E-2</v>
      </c>
      <c r="E5" s="2">
        <v>0</v>
      </c>
      <c r="F5" s="2">
        <v>0</v>
      </c>
      <c r="G5" s="2">
        <v>1.87</v>
      </c>
      <c r="H5" s="2">
        <v>0.9</v>
      </c>
      <c r="I5" s="2">
        <v>0</v>
      </c>
      <c r="J5" s="2">
        <v>0</v>
      </c>
      <c r="K5" s="2">
        <v>3.7100000000000001E-2</v>
      </c>
      <c r="L5" s="2">
        <v>0</v>
      </c>
      <c r="M5" s="2">
        <v>0</v>
      </c>
      <c r="N5" s="2">
        <v>0.16700000000000001</v>
      </c>
      <c r="O5" s="2">
        <v>0.26900000000000002</v>
      </c>
      <c r="P5" s="2">
        <v>0</v>
      </c>
      <c r="Q5" s="2">
        <v>0</v>
      </c>
      <c r="R5" s="2">
        <v>15.2</v>
      </c>
      <c r="S5" s="2">
        <v>0</v>
      </c>
    </row>
    <row r="6" spans="1:19" x14ac:dyDescent="0.2">
      <c r="A6" s="1" t="s">
        <v>42</v>
      </c>
      <c r="B6">
        <v>0</v>
      </c>
      <c r="C6">
        <v>0</v>
      </c>
      <c r="D6">
        <v>0</v>
      </c>
      <c r="E6">
        <v>0</v>
      </c>
      <c r="F6">
        <v>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 s="1" t="s">
        <v>44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64FB-E349-CF4D-A5B6-09DA23372EE6}">
  <dimension ref="A1:H5"/>
  <sheetViews>
    <sheetView zoomScale="156" workbookViewId="0">
      <selection activeCell="D17" sqref="D17"/>
    </sheetView>
  </sheetViews>
  <sheetFormatPr baseColWidth="10" defaultColWidth="20.83203125" defaultRowHeight="16" x14ac:dyDescent="0.2"/>
  <sheetData>
    <row r="1" spans="1:8" x14ac:dyDescent="0.2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51</v>
      </c>
      <c r="G1" s="1" t="s">
        <v>56</v>
      </c>
      <c r="H1" s="1" t="s">
        <v>54</v>
      </c>
    </row>
    <row r="2" spans="1:8" x14ac:dyDescent="0.2">
      <c r="A2" s="1">
        <v>250</v>
      </c>
      <c r="B2">
        <v>250</v>
      </c>
      <c r="C2">
        <v>50</v>
      </c>
      <c r="D2">
        <v>20</v>
      </c>
      <c r="E2">
        <v>50</v>
      </c>
      <c r="F2">
        <v>100</v>
      </c>
      <c r="G2">
        <v>0.8</v>
      </c>
      <c r="H2">
        <v>2</v>
      </c>
    </row>
    <row r="3" spans="1:8" x14ac:dyDescent="0.2">
      <c r="A3" s="1">
        <v>500</v>
      </c>
      <c r="B3">
        <v>500</v>
      </c>
      <c r="C3">
        <v>100</v>
      </c>
      <c r="D3">
        <v>20</v>
      </c>
      <c r="E3">
        <v>50</v>
      </c>
      <c r="F3">
        <v>200</v>
      </c>
      <c r="G3">
        <v>1</v>
      </c>
      <c r="H3">
        <v>3</v>
      </c>
    </row>
    <row r="4" spans="1:8" x14ac:dyDescent="0.2">
      <c r="A4" s="1">
        <v>750</v>
      </c>
      <c r="B4">
        <v>750</v>
      </c>
      <c r="C4">
        <v>150</v>
      </c>
      <c r="D4">
        <v>20</v>
      </c>
      <c r="E4">
        <v>60</v>
      </c>
      <c r="F4">
        <v>250</v>
      </c>
      <c r="G4">
        <v>1.2</v>
      </c>
      <c r="H4">
        <v>4</v>
      </c>
    </row>
    <row r="5" spans="1:8" x14ac:dyDescent="0.2">
      <c r="A5" s="1">
        <v>1000</v>
      </c>
      <c r="B5">
        <v>1000</v>
      </c>
      <c r="C5">
        <v>200</v>
      </c>
      <c r="D5">
        <v>20</v>
      </c>
      <c r="E5">
        <v>60</v>
      </c>
      <c r="F5">
        <v>300</v>
      </c>
      <c r="G5">
        <v>1.4</v>
      </c>
      <c r="H5">
        <v>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5C73-6DA0-064F-B36A-F8D9486A590E}">
  <dimension ref="A1:B4"/>
  <sheetViews>
    <sheetView tabSelected="1" zoomScale="150" workbookViewId="0">
      <selection activeCell="A6" sqref="A6"/>
    </sheetView>
  </sheetViews>
  <sheetFormatPr baseColWidth="10" defaultColWidth="20.83203125" defaultRowHeight="16" x14ac:dyDescent="0.2"/>
  <sheetData>
    <row r="1" spans="1:2" x14ac:dyDescent="0.2">
      <c r="A1" t="s">
        <v>2</v>
      </c>
      <c r="B1" t="s">
        <v>63</v>
      </c>
    </row>
    <row r="2" spans="1:2" x14ac:dyDescent="0.2">
      <c r="A2" t="s">
        <v>49</v>
      </c>
      <c r="B2">
        <v>9.9700000000000006</v>
      </c>
    </row>
    <row r="3" spans="1:2" x14ac:dyDescent="0.2">
      <c r="A3" t="s">
        <v>50</v>
      </c>
      <c r="B3">
        <v>9.9600000000000009</v>
      </c>
    </row>
    <row r="4" spans="1:2" x14ac:dyDescent="0.2">
      <c r="A4" t="s">
        <v>52</v>
      </c>
      <c r="B4">
        <v>7884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4BE4-6821-7841-AEB9-5863591EC720}">
  <dimension ref="A1:F6"/>
  <sheetViews>
    <sheetView zoomScale="175" workbookViewId="0">
      <selection activeCell="D10" sqref="D10"/>
    </sheetView>
  </sheetViews>
  <sheetFormatPr baseColWidth="10" defaultRowHeight="16" x14ac:dyDescent="0.2"/>
  <sheetData>
    <row r="1" spans="1:6" ht="51" x14ac:dyDescent="0.2">
      <c r="A1" s="3" t="s">
        <v>58</v>
      </c>
      <c r="B1" t="s">
        <v>39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2">
      <c r="A2">
        <v>20</v>
      </c>
      <c r="B2" s="4">
        <f>B3*0.8</f>
        <v>3.2846400000000006E-3</v>
      </c>
      <c r="C2" s="4">
        <f t="shared" ref="C2:F2" si="0">C3*0.8</f>
        <v>1.0512000000000001E-2</v>
      </c>
      <c r="D2" s="4">
        <f t="shared" si="0"/>
        <v>3.6000000000000008E-3</v>
      </c>
      <c r="E2" s="4">
        <f t="shared" si="0"/>
        <v>2.3176800000000003E-3</v>
      </c>
      <c r="F2" s="4">
        <f t="shared" si="0"/>
        <v>3.0657600000000003E-4</v>
      </c>
    </row>
    <row r="3" spans="1:6" x14ac:dyDescent="0.2">
      <c r="A3">
        <v>40</v>
      </c>
      <c r="B3" s="4">
        <f>B4*0.9</f>
        <v>4.1058000000000006E-3</v>
      </c>
      <c r="C3" s="4">
        <f t="shared" ref="C3:F3" si="1">C4*0.9</f>
        <v>1.3140000000000001E-2</v>
      </c>
      <c r="D3" s="4">
        <f t="shared" si="1"/>
        <v>4.5000000000000005E-3</v>
      </c>
      <c r="E3" s="4">
        <f t="shared" si="1"/>
        <v>2.8971000000000001E-3</v>
      </c>
      <c r="F3" s="4">
        <f t="shared" si="1"/>
        <v>3.8321999999999998E-4</v>
      </c>
    </row>
    <row r="4" spans="1:6" x14ac:dyDescent="0.2">
      <c r="A4">
        <v>60</v>
      </c>
      <c r="B4" s="4">
        <f>4.562/1000</f>
        <v>4.5620000000000001E-3</v>
      </c>
      <c r="C4" s="4">
        <f>14.6/1000</f>
        <v>1.46E-2</v>
      </c>
      <c r="D4" s="4">
        <f>5/1000</f>
        <v>5.0000000000000001E-3</v>
      </c>
      <c r="E4" s="4">
        <f>3.219/1000</f>
        <v>3.2190000000000001E-3</v>
      </c>
      <c r="F4" s="4">
        <f>0.4258/1000</f>
        <v>4.258E-4</v>
      </c>
    </row>
    <row r="5" spans="1:6" x14ac:dyDescent="0.2">
      <c r="A5">
        <v>80</v>
      </c>
      <c r="B5" s="4">
        <f>B4*1.1</f>
        <v>5.0182000000000004E-3</v>
      </c>
      <c r="C5" s="4">
        <f>C4*1.1</f>
        <v>1.6060000000000001E-2</v>
      </c>
      <c r="D5" s="4">
        <f t="shared" ref="D5:F5" si="2">D4*1.1</f>
        <v>5.5000000000000005E-3</v>
      </c>
      <c r="E5" s="4">
        <f t="shared" si="2"/>
        <v>3.5409000000000005E-3</v>
      </c>
      <c r="F5" s="4">
        <f t="shared" si="2"/>
        <v>4.6838000000000001E-4</v>
      </c>
    </row>
    <row r="6" spans="1:6" x14ac:dyDescent="0.2">
      <c r="A6">
        <v>100</v>
      </c>
      <c r="B6" s="4">
        <f>B5*1.2</f>
        <v>6.0218400000000005E-3</v>
      </c>
      <c r="C6" s="4">
        <f>C5*1.2</f>
        <v>1.9272000000000001E-2</v>
      </c>
      <c r="D6" s="4">
        <f t="shared" ref="D6:F6" si="3">D5*1.2</f>
        <v>6.6000000000000008E-3</v>
      </c>
      <c r="E6" s="4">
        <f t="shared" si="3"/>
        <v>4.2490800000000006E-3</v>
      </c>
      <c r="F6" s="4">
        <f t="shared" si="3"/>
        <v>5.6205600000000001E-4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1. Dual Fuel Background Data</vt:lpstr>
      <vt:lpstr>2. Dual Fuel Impacts</vt:lpstr>
      <vt:lpstr>3. Emission Impacts</vt:lpstr>
      <vt:lpstr>4. Engine Data</vt:lpstr>
      <vt:lpstr>5. Annahmen</vt:lpstr>
      <vt:lpstr>6. Emission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2025-08-26T14:30:29Z</dcterms:created>
  <dcterms:modified xsi:type="dcterms:W3CDTF">2025-09-15T08:16:02Z</dcterms:modified>
</cp:coreProperties>
</file>